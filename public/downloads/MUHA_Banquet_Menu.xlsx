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0\Common\MUHA\Банкетное_меню\"/>
    </mc:Choice>
  </mc:AlternateContent>
  <xr:revisionPtr revIDLastSave="0" documentId="8_{6596E1F3-81AF-4D39-8855-6DBA6CD3FEA8}" xr6:coauthVersionLast="45" xr6:coauthVersionMax="45" xr10:uidLastSave="{00000000-0000-0000-0000-000000000000}"/>
  <bookViews>
    <workbookView xWindow="-120" yWindow="-120" windowWidth="29040" windowHeight="15840" xr2:uid="{EF92946D-5F2F-4AAF-B804-513C2A73DE2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62" i="1" l="1"/>
  <c r="G63" i="1"/>
  <c r="G61" i="1"/>
  <c r="G59" i="1"/>
  <c r="G58" i="1"/>
  <c r="G54" i="1"/>
  <c r="G55" i="1"/>
  <c r="G56" i="1"/>
  <c r="G53" i="1"/>
  <c r="G49" i="1"/>
  <c r="G50" i="1"/>
  <c r="G51" i="1"/>
  <c r="G48" i="1"/>
  <c r="G42" i="1"/>
  <c r="G43" i="1"/>
  <c r="G44" i="1"/>
  <c r="G45" i="1"/>
  <c r="G46" i="1"/>
  <c r="G41" i="1"/>
  <c r="G37" i="1"/>
  <c r="G38" i="1"/>
  <c r="G39" i="1"/>
  <c r="G36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12" i="1"/>
  <c r="G5" i="1"/>
  <c r="G6" i="1"/>
  <c r="G7" i="1"/>
  <c r="G8" i="1"/>
  <c r="G9" i="1"/>
  <c r="G10" i="1"/>
  <c r="G4" i="1"/>
  <c r="G64" i="1" l="1"/>
</calcChain>
</file>

<file path=xl/sharedStrings.xml><?xml version="1.0" encoding="utf-8"?>
<sst xmlns="http://schemas.openxmlformats.org/spreadsheetml/2006/main" count="142" uniqueCount="77">
  <si>
    <t>Арт-Ресто-Бар "МУХА"</t>
  </si>
  <si>
    <t>БАНКЕТНОЕ МЕНЮ</t>
  </si>
  <si>
    <t>вес (гр.)</t>
  </si>
  <si>
    <t>minimum кол-во</t>
  </si>
  <si>
    <t>Заказ
(кол-во)</t>
  </si>
  <si>
    <t>Сумма</t>
  </si>
  <si>
    <t>Салаты</t>
  </si>
  <si>
    <t>Салат Оливье</t>
  </si>
  <si>
    <t>кг</t>
  </si>
  <si>
    <t>Салат Оливье с языком</t>
  </si>
  <si>
    <t>Салат Оливье с ростбифом</t>
  </si>
  <si>
    <t>Салат Греческий</t>
  </si>
  <si>
    <t>Салат с тунцом и апельсином</t>
  </si>
  <si>
    <t>Салат с хрустящими баклажанами и томатами</t>
  </si>
  <si>
    <t>Салат с лососем слабой соли и моцареллой</t>
  </si>
  <si>
    <t>Закуски</t>
  </si>
  <si>
    <t>Спаржа с лососем слабой соли</t>
  </si>
  <si>
    <t>шт</t>
  </si>
  <si>
    <t>Спаржа в беконе</t>
  </si>
  <si>
    <t>Антипасти</t>
  </si>
  <si>
    <t>-</t>
  </si>
  <si>
    <t>Тартар из говядины на чипсе из бородинского</t>
  </si>
  <si>
    <t>Тартар из лосося с авокадо</t>
  </si>
  <si>
    <t>Тартар из тунца с клубникой</t>
  </si>
  <si>
    <t>Канапе бри с малиной</t>
  </si>
  <si>
    <t>Канапе дыня-парма</t>
  </si>
  <si>
    <t>Креветка на шпажке с соуом Том Ям</t>
  </si>
  <si>
    <t>Профитроли крем-чиз</t>
  </si>
  <si>
    <t>Профитроли с паштетом</t>
  </si>
  <si>
    <t>Рийет из индейки с луковым мармеладом и брусникой</t>
  </si>
  <si>
    <t>Форшмак</t>
  </si>
  <si>
    <t>Сырная тарелка</t>
  </si>
  <si>
    <t>Мясная тарелка</t>
  </si>
  <si>
    <t>Рыбная тарелка</t>
  </si>
  <si>
    <t>Ассорти канапе к водке</t>
  </si>
  <si>
    <t>Рулетики с ветчиной и сыром</t>
  </si>
  <si>
    <t>Ассорти брускетт</t>
  </si>
  <si>
    <t>Горячие закуски</t>
  </si>
  <si>
    <t>Жареный сыр с ягодным соусом</t>
  </si>
  <si>
    <t>Баклажаны-Пармеджано</t>
  </si>
  <si>
    <t>Жюльен с картофельной вафлей</t>
  </si>
  <si>
    <t>Сувлаки с соусом дзадзики</t>
  </si>
  <si>
    <t>Горячее</t>
  </si>
  <si>
    <t>Буженина в медово-горчичном соусе</t>
  </si>
  <si>
    <t>1 000,0</t>
  </si>
  <si>
    <t>Рулька</t>
  </si>
  <si>
    <t>Стейк из форели</t>
  </si>
  <si>
    <t>Стейк Филе миньон - говядина</t>
  </si>
  <si>
    <t>Стейк Рибай - говядина</t>
  </si>
  <si>
    <t>Куриная грудка на гриле</t>
  </si>
  <si>
    <t>Гарниры</t>
  </si>
  <si>
    <t>Картофель по-деревенски</t>
  </si>
  <si>
    <t>Овощи гриль</t>
  </si>
  <si>
    <t>Крупы микс</t>
  </si>
  <si>
    <t>Хлебная корзина</t>
  </si>
  <si>
    <t>Десерты</t>
  </si>
  <si>
    <t>Чизкейк баскский</t>
  </si>
  <si>
    <t>Домашний Медовик</t>
  </si>
  <si>
    <t>Ассорти мини эклеров</t>
  </si>
  <si>
    <t>Чайно-кофейный безлимит</t>
  </si>
  <si>
    <t>Напитки</t>
  </si>
  <si>
    <t>Лимонад домашний клубника-базилик</t>
  </si>
  <si>
    <t>л</t>
  </si>
  <si>
    <t>Лимонад домашний мята-лимон</t>
  </si>
  <si>
    <t>Детское меню</t>
  </si>
  <si>
    <t>Тыквеный крем-суп</t>
  </si>
  <si>
    <t>Куриные котлетки с картофельным пюре</t>
  </si>
  <si>
    <t>Обслуживание</t>
  </si>
  <si>
    <t>Стакан, ₽/шт</t>
  </si>
  <si>
    <t>Фужер, ₽/шт</t>
  </si>
  <si>
    <t>цена 2026</t>
  </si>
  <si>
    <t>Тарелка, ₽/шт</t>
  </si>
  <si>
    <t>Сет канапе (Моцарелла+черри+базилик-10шт, камамбер+виноград-10шт)</t>
  </si>
  <si>
    <t>Сет пинчос (Цыпленок с вяленым томатом - 1 шт, Ростбиф с печеным перцем - 1 шт, лосось и керм чиз - 1 шт)</t>
  </si>
  <si>
    <t>Водочный сет (сельдь, сало, лук, картофель, огурцы, капуста, хлеб)</t>
  </si>
  <si>
    <t>Ассорти маринованых грибов и мини-овощей</t>
  </si>
  <si>
    <t>Картофель фри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</si>
</sst>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9"/>
      <color rgb="FF85200C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85200C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6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</fills>
  <borders count="2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/>
      <top/>
      <bottom style="medium">
        <color indexed="64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9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6" borderId="11" xfId="0" applyFont="1" applyFill="1" applyBorder="1" applyAlignment="1">
      <alignment vertical="center" wrapText="1"/>
    </xf>
    <xf numFmtId="0" fontId="4" fillId="7" borderId="11" xfId="0" applyFont="1" applyFill="1" applyBorder="1" applyAlignment="1">
      <alignment wrapText="1"/>
    </xf>
    <xf numFmtId="0" fontId="5" fillId="0" borderId="11" xfId="0" applyFont="1" applyBorder="1" applyAlignment="1">
      <alignment wrapText="1"/>
    </xf>
    <xf numFmtId="0" fontId="10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2" fontId="5" fillId="0" borderId="1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wrapText="1"/>
    </xf>
    <xf numFmtId="0" fontId="5" fillId="0" borderId="4" xfId="0" applyFont="1" applyBorder="1" applyAlignment="1">
      <alignment vertical="center" wrapText="1"/>
    </xf>
    <xf numFmtId="0" fontId="5" fillId="0" borderId="0" xfId="0" applyFont="1"/>
    <xf numFmtId="0" fontId="4" fillId="0" borderId="6" xfId="0" applyFont="1" applyBorder="1" applyAlignment="1">
      <alignment vertical="center" wrapText="1"/>
    </xf>
    <xf numFmtId="0" fontId="5" fillId="7" borderId="2" xfId="0" applyFont="1" applyFill="1" applyBorder="1" applyAlignment="1">
      <alignment wrapText="1"/>
    </xf>
    <xf numFmtId="0" fontId="6" fillId="0" borderId="2" xfId="0" applyFont="1" applyBorder="1" applyAlignment="1">
      <alignment horizontal="right" wrapText="1"/>
    </xf>
    <xf numFmtId="0" fontId="8" fillId="0" borderId="2" xfId="0" applyFont="1" applyBorder="1" applyAlignment="1">
      <alignment wrapText="1"/>
    </xf>
    <xf numFmtId="0" fontId="5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wrapText="1"/>
    </xf>
    <xf numFmtId="2" fontId="4" fillId="2" borderId="3" xfId="0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5" fillId="0" borderId="17" xfId="0" applyFont="1" applyBorder="1" applyAlignment="1">
      <alignment wrapText="1"/>
    </xf>
    <xf numFmtId="0" fontId="6" fillId="0" borderId="18" xfId="0" applyFont="1" applyBorder="1" applyAlignment="1">
      <alignment horizontal="right" wrapText="1"/>
    </xf>
    <xf numFmtId="0" fontId="7" fillId="0" borderId="18" xfId="0" applyFont="1" applyBorder="1" applyAlignment="1">
      <alignment horizontal="right" wrapText="1"/>
    </xf>
    <xf numFmtId="0" fontId="6" fillId="0" borderId="18" xfId="0" applyFont="1" applyBorder="1" applyAlignment="1">
      <alignment wrapText="1"/>
    </xf>
    <xf numFmtId="0" fontId="4" fillId="8" borderId="14" xfId="0" applyFont="1" applyFill="1" applyBorder="1" applyAlignment="1">
      <alignment wrapText="1"/>
    </xf>
    <xf numFmtId="0" fontId="5" fillId="8" borderId="15" xfId="0" applyFont="1" applyFill="1" applyBorder="1" applyAlignment="1">
      <alignment wrapText="1"/>
    </xf>
    <xf numFmtId="0" fontId="5" fillId="8" borderId="15" xfId="0" applyFont="1" applyFill="1" applyBorder="1" applyAlignment="1">
      <alignment horizontal="center" wrapText="1"/>
    </xf>
    <xf numFmtId="0" fontId="5" fillId="8" borderId="16" xfId="0" applyFont="1" applyFill="1" applyBorder="1" applyAlignment="1">
      <alignment horizontal="center" wrapText="1"/>
    </xf>
    <xf numFmtId="0" fontId="5" fillId="0" borderId="19" xfId="0" applyFont="1" applyBorder="1" applyAlignment="1">
      <alignment wrapText="1"/>
    </xf>
    <xf numFmtId="0" fontId="6" fillId="0" borderId="20" xfId="0" applyFont="1" applyBorder="1" applyAlignment="1">
      <alignment horizontal="right" wrapText="1"/>
    </xf>
    <xf numFmtId="0" fontId="5" fillId="0" borderId="20" xfId="0" applyFont="1" applyBorder="1" applyAlignment="1">
      <alignment horizontal="center" wrapText="1"/>
    </xf>
    <xf numFmtId="2" fontId="5" fillId="0" borderId="21" xfId="0" applyNumberFormat="1" applyFont="1" applyBorder="1" applyAlignment="1">
      <alignment horizontal="center" vertical="center" wrapText="1"/>
    </xf>
    <xf numFmtId="0" fontId="5" fillId="0" borderId="3" xfId="0" applyFont="1" applyBorder="1"/>
    <xf numFmtId="0" fontId="6" fillId="0" borderId="3" xfId="0" applyFont="1" applyBorder="1" applyAlignment="1">
      <alignment horizontal="right" wrapText="1"/>
    </xf>
    <xf numFmtId="0" fontId="7" fillId="0" borderId="3" xfId="0" applyFont="1" applyBorder="1" applyAlignment="1">
      <alignment horizontal="right" wrapText="1"/>
    </xf>
    <xf numFmtId="0" fontId="7" fillId="0" borderId="22" xfId="0" applyFont="1" applyBorder="1" applyAlignment="1">
      <alignment horizontal="right" wrapText="1"/>
    </xf>
    <xf numFmtId="0" fontId="7" fillId="0" borderId="23" xfId="0" applyFont="1" applyBorder="1" applyAlignment="1">
      <alignment horizontal="right" wrapText="1"/>
    </xf>
    <xf numFmtId="0" fontId="6" fillId="0" borderId="3" xfId="0" applyFont="1" applyBorder="1" applyAlignment="1">
      <alignment wrapText="1"/>
    </xf>
    <xf numFmtId="0" fontId="5" fillId="0" borderId="24" xfId="0" applyFont="1" applyBorder="1" applyAlignment="1">
      <alignment horizont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vertical="center" wrapText="1"/>
    </xf>
    <xf numFmtId="0" fontId="5" fillId="4" borderId="25" xfId="0" applyFont="1" applyFill="1" applyBorder="1" applyAlignment="1">
      <alignment vertical="center" wrapText="1"/>
    </xf>
    <xf numFmtId="0" fontId="6" fillId="0" borderId="26" xfId="0" applyFont="1" applyBorder="1" applyAlignment="1">
      <alignment horizontal="right" vertical="center" wrapText="1"/>
    </xf>
    <xf numFmtId="0" fontId="5" fillId="4" borderId="26" xfId="0" applyFont="1" applyFill="1" applyBorder="1" applyAlignment="1">
      <alignment vertical="center" wrapText="1"/>
    </xf>
    <xf numFmtId="0" fontId="5" fillId="5" borderId="26" xfId="0" applyFont="1" applyFill="1" applyBorder="1" applyAlignment="1">
      <alignment vertical="center" wrapText="1"/>
    </xf>
    <xf numFmtId="0" fontId="5" fillId="3" borderId="26" xfId="0" applyFont="1" applyFill="1" applyBorder="1" applyAlignment="1">
      <alignment vertical="center" wrapText="1"/>
    </xf>
    <xf numFmtId="0" fontId="5" fillId="6" borderId="26" xfId="0" applyFont="1" applyFill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4" borderId="27" xfId="0" applyFont="1" applyFill="1" applyBorder="1" applyAlignment="1">
      <alignment vertical="center" wrapText="1"/>
    </xf>
    <xf numFmtId="0" fontId="9" fillId="0" borderId="28" xfId="0" applyFont="1" applyBorder="1" applyAlignment="1">
      <alignment horizontal="right" vertical="center" wrapText="1"/>
    </xf>
    <xf numFmtId="0" fontId="5" fillId="4" borderId="28" xfId="0" applyFont="1" applyFill="1" applyBorder="1" applyAlignment="1">
      <alignment vertical="center" wrapText="1"/>
    </xf>
    <xf numFmtId="0" fontId="5" fillId="5" borderId="28" xfId="0" applyFont="1" applyFill="1" applyBorder="1" applyAlignment="1">
      <alignment vertical="center" wrapText="1"/>
    </xf>
    <xf numFmtId="0" fontId="5" fillId="3" borderId="28" xfId="0" applyFont="1" applyFill="1" applyBorder="1" applyAlignment="1">
      <alignment vertical="center" wrapText="1"/>
    </xf>
    <xf numFmtId="0" fontId="5" fillId="6" borderId="28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wrapText="1"/>
    </xf>
    <xf numFmtId="0" fontId="5" fillId="4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DC58-EC6C-4C87-9DAD-DF16C05197A3}">
  <dimension ref="A1:G70"/>
  <sheetViews>
    <sheetView tabSelected="1" topLeftCell="A25" workbookViewId="0">
      <selection activeCell="F73" sqref="F73"/>
    </sheetView>
  </sheetViews>
  <sheetFormatPr defaultRowHeight="14.25" x14ac:dyDescent="0.2"/>
  <cols>
    <col min="1" max="1" width="55.28515625" style="22" customWidth="1"/>
    <col min="2" max="5" width="9.140625" style="22"/>
    <col min="6" max="7" width="9.140625" style="42"/>
    <col min="8" max="16384" width="9.140625" style="22"/>
  </cols>
  <sheetData>
    <row r="1" spans="1:7" ht="32.25" customHeight="1" thickBot="1" x14ac:dyDescent="0.25">
      <c r="A1" s="50" t="s">
        <v>0</v>
      </c>
      <c r="B1" s="21"/>
      <c r="C1" s="21"/>
      <c r="D1" s="21"/>
      <c r="E1" s="21"/>
      <c r="F1" s="32"/>
      <c r="G1" s="32"/>
    </row>
    <row r="2" spans="1:7" ht="24.75" thickBot="1" x14ac:dyDescent="0.25">
      <c r="A2" s="23" t="s">
        <v>1</v>
      </c>
      <c r="B2" s="3" t="s">
        <v>2</v>
      </c>
      <c r="C2" s="4" t="s">
        <v>3</v>
      </c>
      <c r="D2" s="5"/>
      <c r="E2" s="6" t="s">
        <v>70</v>
      </c>
      <c r="F2" s="8" t="s">
        <v>4</v>
      </c>
      <c r="G2" s="7" t="s">
        <v>5</v>
      </c>
    </row>
    <row r="3" spans="1:7" ht="15.75" thickBot="1" x14ac:dyDescent="0.25">
      <c r="A3" s="9" t="s">
        <v>6</v>
      </c>
      <c r="B3" s="72"/>
      <c r="C3" s="86"/>
      <c r="D3" s="86"/>
      <c r="E3" s="79"/>
      <c r="F3" s="33"/>
      <c r="G3" s="43"/>
    </row>
    <row r="4" spans="1:7" ht="15" thickBot="1" x14ac:dyDescent="0.25">
      <c r="A4" s="10" t="s">
        <v>7</v>
      </c>
      <c r="B4" s="73">
        <v>1000</v>
      </c>
      <c r="C4" s="87">
        <v>1</v>
      </c>
      <c r="D4" s="88" t="s">
        <v>8</v>
      </c>
      <c r="E4" s="80">
        <v>2010</v>
      </c>
      <c r="F4" s="34"/>
      <c r="G4" s="19">
        <f>F4*E4</f>
        <v>0</v>
      </c>
    </row>
    <row r="5" spans="1:7" ht="15" thickBot="1" x14ac:dyDescent="0.25">
      <c r="A5" s="10" t="s">
        <v>9</v>
      </c>
      <c r="B5" s="73">
        <v>1000</v>
      </c>
      <c r="C5" s="87">
        <v>1</v>
      </c>
      <c r="D5" s="88" t="s">
        <v>8</v>
      </c>
      <c r="E5" s="80">
        <v>2810</v>
      </c>
      <c r="F5" s="34"/>
      <c r="G5" s="19">
        <f t="shared" ref="G5:G10" si="0">F5*E5</f>
        <v>0</v>
      </c>
    </row>
    <row r="6" spans="1:7" ht="15" thickBot="1" x14ac:dyDescent="0.25">
      <c r="A6" s="10" t="s">
        <v>10</v>
      </c>
      <c r="B6" s="73">
        <v>1000</v>
      </c>
      <c r="C6" s="87">
        <v>1</v>
      </c>
      <c r="D6" s="88" t="s">
        <v>8</v>
      </c>
      <c r="E6" s="80">
        <v>2990</v>
      </c>
      <c r="F6" s="34"/>
      <c r="G6" s="19">
        <f t="shared" si="0"/>
        <v>0</v>
      </c>
    </row>
    <row r="7" spans="1:7" ht="15" thickBot="1" x14ac:dyDescent="0.25">
      <c r="A7" s="10" t="s">
        <v>11</v>
      </c>
      <c r="B7" s="73">
        <v>1000</v>
      </c>
      <c r="C7" s="87">
        <v>1</v>
      </c>
      <c r="D7" s="88" t="s">
        <v>8</v>
      </c>
      <c r="E7" s="80">
        <v>2180</v>
      </c>
      <c r="F7" s="34"/>
      <c r="G7" s="19">
        <f t="shared" si="0"/>
        <v>0</v>
      </c>
    </row>
    <row r="8" spans="1:7" ht="15" thickBot="1" x14ac:dyDescent="0.25">
      <c r="A8" s="10" t="s">
        <v>12</v>
      </c>
      <c r="B8" s="73">
        <v>1000</v>
      </c>
      <c r="C8" s="87">
        <v>1</v>
      </c>
      <c r="D8" s="88" t="s">
        <v>8</v>
      </c>
      <c r="E8" s="80">
        <v>4020</v>
      </c>
      <c r="F8" s="34"/>
      <c r="G8" s="19">
        <f t="shared" si="0"/>
        <v>0</v>
      </c>
    </row>
    <row r="9" spans="1:7" ht="15" thickBot="1" x14ac:dyDescent="0.25">
      <c r="A9" s="10" t="s">
        <v>13</v>
      </c>
      <c r="B9" s="73">
        <v>1000</v>
      </c>
      <c r="C9" s="87">
        <v>1</v>
      </c>
      <c r="D9" s="88" t="s">
        <v>8</v>
      </c>
      <c r="E9" s="80">
        <v>2810</v>
      </c>
      <c r="F9" s="34"/>
      <c r="G9" s="19">
        <f t="shared" si="0"/>
        <v>0</v>
      </c>
    </row>
    <row r="10" spans="1:7" ht="15" thickBot="1" x14ac:dyDescent="0.25">
      <c r="A10" s="10" t="s">
        <v>14</v>
      </c>
      <c r="B10" s="73">
        <v>1000</v>
      </c>
      <c r="C10" s="87">
        <v>1</v>
      </c>
      <c r="D10" s="88" t="s">
        <v>8</v>
      </c>
      <c r="E10" s="80">
        <v>4370</v>
      </c>
      <c r="F10" s="34"/>
      <c r="G10" s="19">
        <f t="shared" si="0"/>
        <v>0</v>
      </c>
    </row>
    <row r="11" spans="1:7" ht="15.75" thickBot="1" x14ac:dyDescent="0.25">
      <c r="A11" s="11" t="s">
        <v>15</v>
      </c>
      <c r="B11" s="74"/>
      <c r="C11" s="86"/>
      <c r="D11" s="86"/>
      <c r="E11" s="81"/>
      <c r="F11" s="35"/>
      <c r="G11" s="44"/>
    </row>
    <row r="12" spans="1:7" ht="15" thickBot="1" x14ac:dyDescent="0.25">
      <c r="A12" s="10" t="s">
        <v>16</v>
      </c>
      <c r="B12" s="73">
        <v>30</v>
      </c>
      <c r="C12" s="87">
        <v>20</v>
      </c>
      <c r="D12" s="88" t="s">
        <v>17</v>
      </c>
      <c r="E12" s="80">
        <v>190</v>
      </c>
      <c r="F12" s="34"/>
      <c r="G12" s="19">
        <f>F12*E12</f>
        <v>0</v>
      </c>
    </row>
    <row r="13" spans="1:7" ht="15" thickBot="1" x14ac:dyDescent="0.25">
      <c r="A13" s="10" t="s">
        <v>18</v>
      </c>
      <c r="B13" s="73">
        <v>25</v>
      </c>
      <c r="C13" s="87">
        <v>20</v>
      </c>
      <c r="D13" s="88" t="s">
        <v>17</v>
      </c>
      <c r="E13" s="80">
        <v>180</v>
      </c>
      <c r="F13" s="34"/>
      <c r="G13" s="19">
        <f t="shared" ref="G13:G62" si="1">F13*E13</f>
        <v>0</v>
      </c>
    </row>
    <row r="14" spans="1:7" ht="15" thickBot="1" x14ac:dyDescent="0.25">
      <c r="A14" s="10" t="s">
        <v>19</v>
      </c>
      <c r="B14" s="73">
        <v>260</v>
      </c>
      <c r="C14" s="87" t="s">
        <v>20</v>
      </c>
      <c r="D14" s="88" t="s">
        <v>17</v>
      </c>
      <c r="E14" s="80">
        <v>860</v>
      </c>
      <c r="F14" s="34"/>
      <c r="G14" s="19">
        <f t="shared" si="1"/>
        <v>0</v>
      </c>
    </row>
    <row r="15" spans="1:7" ht="15" thickBot="1" x14ac:dyDescent="0.25">
      <c r="A15" s="10" t="s">
        <v>21</v>
      </c>
      <c r="B15" s="73">
        <v>40</v>
      </c>
      <c r="C15" s="87">
        <v>10</v>
      </c>
      <c r="D15" s="88" t="s">
        <v>17</v>
      </c>
      <c r="E15" s="80">
        <v>150</v>
      </c>
      <c r="F15" s="34"/>
      <c r="G15" s="19">
        <f t="shared" si="1"/>
        <v>0</v>
      </c>
    </row>
    <row r="16" spans="1:7" ht="15" thickBot="1" x14ac:dyDescent="0.25">
      <c r="A16" s="10" t="s">
        <v>22</v>
      </c>
      <c r="B16" s="73">
        <v>40</v>
      </c>
      <c r="C16" s="87">
        <v>10</v>
      </c>
      <c r="D16" s="88" t="s">
        <v>17</v>
      </c>
      <c r="E16" s="80">
        <v>160</v>
      </c>
      <c r="F16" s="34"/>
      <c r="G16" s="19">
        <f t="shared" si="1"/>
        <v>0</v>
      </c>
    </row>
    <row r="17" spans="1:7" ht="15" thickBot="1" x14ac:dyDescent="0.25">
      <c r="A17" s="10" t="s">
        <v>23</v>
      </c>
      <c r="B17" s="73">
        <v>40</v>
      </c>
      <c r="C17" s="87">
        <v>10</v>
      </c>
      <c r="D17" s="88" t="s">
        <v>17</v>
      </c>
      <c r="E17" s="80">
        <v>160</v>
      </c>
      <c r="F17" s="34"/>
      <c r="G17" s="19">
        <f t="shared" si="1"/>
        <v>0</v>
      </c>
    </row>
    <row r="18" spans="1:7" ht="15" thickBot="1" x14ac:dyDescent="0.25">
      <c r="A18" s="10" t="s">
        <v>24</v>
      </c>
      <c r="B18" s="73">
        <v>20</v>
      </c>
      <c r="C18" s="87">
        <v>20</v>
      </c>
      <c r="D18" s="88" t="s">
        <v>17</v>
      </c>
      <c r="E18" s="80">
        <v>120</v>
      </c>
      <c r="F18" s="34"/>
      <c r="G18" s="19">
        <f t="shared" si="1"/>
        <v>0</v>
      </c>
    </row>
    <row r="19" spans="1:7" ht="15" thickBot="1" x14ac:dyDescent="0.25">
      <c r="A19" s="10" t="s">
        <v>25</v>
      </c>
      <c r="B19" s="73">
        <v>40</v>
      </c>
      <c r="C19" s="87">
        <v>20</v>
      </c>
      <c r="D19" s="88" t="s">
        <v>17</v>
      </c>
      <c r="E19" s="80">
        <v>140</v>
      </c>
      <c r="F19" s="34"/>
      <c r="G19" s="19">
        <f t="shared" si="1"/>
        <v>0</v>
      </c>
    </row>
    <row r="20" spans="1:7" ht="15" thickBot="1" x14ac:dyDescent="0.25">
      <c r="A20" s="10" t="s">
        <v>26</v>
      </c>
      <c r="B20" s="73">
        <v>30</v>
      </c>
      <c r="C20" s="89"/>
      <c r="D20" s="89"/>
      <c r="E20" s="80">
        <v>170</v>
      </c>
      <c r="F20" s="34"/>
      <c r="G20" s="19">
        <f t="shared" si="1"/>
        <v>0</v>
      </c>
    </row>
    <row r="21" spans="1:7" ht="29.25" thickBot="1" x14ac:dyDescent="0.25">
      <c r="A21" s="10" t="s">
        <v>72</v>
      </c>
      <c r="B21" s="73">
        <v>437</v>
      </c>
      <c r="C21" s="87" t="s">
        <v>20</v>
      </c>
      <c r="D21" s="88" t="s">
        <v>17</v>
      </c>
      <c r="E21" s="80">
        <v>2410</v>
      </c>
      <c r="F21" s="34"/>
      <c r="G21" s="19">
        <f t="shared" si="1"/>
        <v>0</v>
      </c>
    </row>
    <row r="22" spans="1:7" ht="15" thickBot="1" x14ac:dyDescent="0.25">
      <c r="A22" s="10" t="s">
        <v>27</v>
      </c>
      <c r="B22" s="73">
        <v>70</v>
      </c>
      <c r="C22" s="87">
        <v>20</v>
      </c>
      <c r="D22" s="88" t="s">
        <v>17</v>
      </c>
      <c r="E22" s="80">
        <v>110</v>
      </c>
      <c r="F22" s="34"/>
      <c r="G22" s="19">
        <f t="shared" si="1"/>
        <v>0</v>
      </c>
    </row>
    <row r="23" spans="1:7" ht="15" thickBot="1" x14ac:dyDescent="0.25">
      <c r="A23" s="10" t="s">
        <v>28</v>
      </c>
      <c r="B23" s="73">
        <v>70</v>
      </c>
      <c r="C23" s="87">
        <v>20</v>
      </c>
      <c r="D23" s="88" t="s">
        <v>17</v>
      </c>
      <c r="E23" s="80">
        <v>130</v>
      </c>
      <c r="F23" s="34"/>
      <c r="G23" s="19">
        <f t="shared" si="1"/>
        <v>0</v>
      </c>
    </row>
    <row r="24" spans="1:7" ht="29.25" thickBot="1" x14ac:dyDescent="0.25">
      <c r="A24" s="10" t="s">
        <v>29</v>
      </c>
      <c r="B24" s="73">
        <v>1000</v>
      </c>
      <c r="C24" s="87">
        <v>0.5</v>
      </c>
      <c r="D24" s="88" t="s">
        <v>8</v>
      </c>
      <c r="E24" s="80">
        <v>1550</v>
      </c>
      <c r="F24" s="34"/>
      <c r="G24" s="19">
        <f t="shared" si="1"/>
        <v>0</v>
      </c>
    </row>
    <row r="25" spans="1:7" ht="43.5" thickBot="1" x14ac:dyDescent="0.25">
      <c r="A25" s="10" t="s">
        <v>73</v>
      </c>
      <c r="B25" s="73">
        <v>215</v>
      </c>
      <c r="C25" s="87" t="s">
        <v>20</v>
      </c>
      <c r="D25" s="88" t="s">
        <v>17</v>
      </c>
      <c r="E25" s="80">
        <v>730</v>
      </c>
      <c r="F25" s="34"/>
      <c r="G25" s="19">
        <f t="shared" si="1"/>
        <v>0</v>
      </c>
    </row>
    <row r="26" spans="1:7" ht="29.25" thickBot="1" x14ac:dyDescent="0.25">
      <c r="A26" s="10" t="s">
        <v>74</v>
      </c>
      <c r="B26" s="73">
        <v>340</v>
      </c>
      <c r="C26" s="87" t="s">
        <v>20</v>
      </c>
      <c r="D26" s="88" t="s">
        <v>17</v>
      </c>
      <c r="E26" s="80">
        <v>630</v>
      </c>
      <c r="F26" s="34"/>
      <c r="G26" s="19">
        <f t="shared" si="1"/>
        <v>0</v>
      </c>
    </row>
    <row r="27" spans="1:7" ht="15" thickBot="1" x14ac:dyDescent="0.25">
      <c r="A27" s="10" t="s">
        <v>30</v>
      </c>
      <c r="B27" s="73">
        <v>200</v>
      </c>
      <c r="C27" s="87">
        <v>10</v>
      </c>
      <c r="D27" s="88" t="s">
        <v>17</v>
      </c>
      <c r="E27" s="80">
        <v>510</v>
      </c>
      <c r="F27" s="34"/>
      <c r="G27" s="19">
        <f t="shared" si="1"/>
        <v>0</v>
      </c>
    </row>
    <row r="28" spans="1:7" ht="15" thickBot="1" x14ac:dyDescent="0.25">
      <c r="A28" s="10" t="s">
        <v>31</v>
      </c>
      <c r="B28" s="73">
        <v>220</v>
      </c>
      <c r="C28" s="87" t="s">
        <v>20</v>
      </c>
      <c r="D28" s="88" t="s">
        <v>17</v>
      </c>
      <c r="E28" s="80">
        <v>1090</v>
      </c>
      <c r="F28" s="34"/>
      <c r="G28" s="19">
        <f t="shared" si="1"/>
        <v>0</v>
      </c>
    </row>
    <row r="29" spans="1:7" ht="15" thickBot="1" x14ac:dyDescent="0.25">
      <c r="A29" s="10" t="s">
        <v>32</v>
      </c>
      <c r="B29" s="73">
        <v>350</v>
      </c>
      <c r="C29" s="87" t="s">
        <v>20</v>
      </c>
      <c r="D29" s="88" t="s">
        <v>17</v>
      </c>
      <c r="E29" s="80">
        <v>1610</v>
      </c>
      <c r="F29" s="34"/>
      <c r="G29" s="19">
        <f t="shared" si="1"/>
        <v>0</v>
      </c>
    </row>
    <row r="30" spans="1:7" ht="15" thickBot="1" x14ac:dyDescent="0.25">
      <c r="A30" s="10" t="s">
        <v>33</v>
      </c>
      <c r="B30" s="73">
        <v>230</v>
      </c>
      <c r="C30" s="87" t="s">
        <v>20</v>
      </c>
      <c r="D30" s="88" t="s">
        <v>17</v>
      </c>
      <c r="E30" s="80">
        <v>1780</v>
      </c>
      <c r="F30" s="34"/>
      <c r="G30" s="19">
        <f t="shared" si="1"/>
        <v>0</v>
      </c>
    </row>
    <row r="31" spans="1:7" ht="15" thickBot="1" x14ac:dyDescent="0.25">
      <c r="A31" s="10" t="s">
        <v>75</v>
      </c>
      <c r="B31" s="73">
        <v>340</v>
      </c>
      <c r="C31" s="87" t="s">
        <v>20</v>
      </c>
      <c r="D31" s="88" t="s">
        <v>17</v>
      </c>
      <c r="E31" s="80">
        <v>710</v>
      </c>
      <c r="F31" s="34"/>
      <c r="G31" s="19">
        <f t="shared" si="1"/>
        <v>0</v>
      </c>
    </row>
    <row r="32" spans="1:7" ht="15" thickBot="1" x14ac:dyDescent="0.25">
      <c r="A32" s="10" t="s">
        <v>34</v>
      </c>
      <c r="B32" s="73">
        <v>20</v>
      </c>
      <c r="C32" s="87" t="s">
        <v>20</v>
      </c>
      <c r="D32" s="88" t="s">
        <v>17</v>
      </c>
      <c r="E32" s="80">
        <v>1380</v>
      </c>
      <c r="F32" s="34"/>
      <c r="G32" s="19">
        <f t="shared" si="1"/>
        <v>0</v>
      </c>
    </row>
    <row r="33" spans="1:7" ht="15" thickBot="1" x14ac:dyDescent="0.25">
      <c r="A33" s="10" t="s">
        <v>35</v>
      </c>
      <c r="B33" s="73">
        <v>33</v>
      </c>
      <c r="C33" s="87">
        <v>20</v>
      </c>
      <c r="D33" s="88" t="s">
        <v>17</v>
      </c>
      <c r="E33" s="80">
        <v>90</v>
      </c>
      <c r="F33" s="34"/>
      <c r="G33" s="19">
        <f t="shared" si="1"/>
        <v>0</v>
      </c>
    </row>
    <row r="34" spans="1:7" ht="15" thickBot="1" x14ac:dyDescent="0.25">
      <c r="A34" s="10" t="s">
        <v>36</v>
      </c>
      <c r="B34" s="73">
        <v>3</v>
      </c>
      <c r="C34" s="87" t="s">
        <v>20</v>
      </c>
      <c r="D34" s="88" t="s">
        <v>17</v>
      </c>
      <c r="E34" s="80">
        <v>1050</v>
      </c>
      <c r="F34" s="34"/>
      <c r="G34" s="19">
        <f t="shared" si="1"/>
        <v>0</v>
      </c>
    </row>
    <row r="35" spans="1:7" ht="15.75" thickBot="1" x14ac:dyDescent="0.25">
      <c r="A35" s="12" t="s">
        <v>37</v>
      </c>
      <c r="B35" s="75"/>
      <c r="C35" s="90"/>
      <c r="D35" s="90"/>
      <c r="E35" s="82"/>
      <c r="F35" s="36"/>
      <c r="G35" s="45"/>
    </row>
    <row r="36" spans="1:7" ht="15" thickBot="1" x14ac:dyDescent="0.25">
      <c r="A36" s="10" t="s">
        <v>38</v>
      </c>
      <c r="B36" s="73">
        <v>25</v>
      </c>
      <c r="C36" s="87">
        <v>20</v>
      </c>
      <c r="D36" s="91" t="s">
        <v>17</v>
      </c>
      <c r="E36" s="80">
        <v>80</v>
      </c>
      <c r="F36" s="34"/>
      <c r="G36" s="19">
        <f t="shared" si="1"/>
        <v>0</v>
      </c>
    </row>
    <row r="37" spans="1:7" ht="15" thickBot="1" x14ac:dyDescent="0.25">
      <c r="A37" s="10" t="s">
        <v>39</v>
      </c>
      <c r="B37" s="73">
        <v>300</v>
      </c>
      <c r="C37" s="87" t="s">
        <v>20</v>
      </c>
      <c r="D37" s="91" t="s">
        <v>17</v>
      </c>
      <c r="E37" s="80">
        <v>600</v>
      </c>
      <c r="F37" s="34"/>
      <c r="G37" s="19">
        <f t="shared" si="1"/>
        <v>0</v>
      </c>
    </row>
    <row r="38" spans="1:7" ht="15" thickBot="1" x14ac:dyDescent="0.25">
      <c r="A38" s="10" t="s">
        <v>40</v>
      </c>
      <c r="B38" s="73">
        <v>150</v>
      </c>
      <c r="C38" s="87" t="s">
        <v>20</v>
      </c>
      <c r="D38" s="91" t="s">
        <v>17</v>
      </c>
      <c r="E38" s="80">
        <v>430</v>
      </c>
      <c r="F38" s="34"/>
      <c r="G38" s="19">
        <f t="shared" si="1"/>
        <v>0</v>
      </c>
    </row>
    <row r="39" spans="1:7" ht="15" thickBot="1" x14ac:dyDescent="0.25">
      <c r="A39" s="10" t="s">
        <v>41</v>
      </c>
      <c r="B39" s="73">
        <v>60</v>
      </c>
      <c r="C39" s="87">
        <v>10</v>
      </c>
      <c r="D39" s="91" t="s">
        <v>17</v>
      </c>
      <c r="E39" s="80">
        <v>260</v>
      </c>
      <c r="F39" s="34"/>
      <c r="G39" s="19">
        <f t="shared" si="1"/>
        <v>0</v>
      </c>
    </row>
    <row r="40" spans="1:7" ht="15.75" thickBot="1" x14ac:dyDescent="0.25">
      <c r="A40" s="13" t="s">
        <v>42</v>
      </c>
      <c r="B40" s="76"/>
      <c r="C40" s="92"/>
      <c r="D40" s="92"/>
      <c r="E40" s="83"/>
      <c r="F40" s="37"/>
      <c r="G40" s="46"/>
    </row>
    <row r="41" spans="1:7" ht="15" thickBot="1" x14ac:dyDescent="0.25">
      <c r="A41" s="10" t="s">
        <v>43</v>
      </c>
      <c r="B41" s="73">
        <v>1000</v>
      </c>
      <c r="C41" s="87">
        <v>2</v>
      </c>
      <c r="D41" s="88" t="s">
        <v>8</v>
      </c>
      <c r="E41" s="80">
        <v>2530</v>
      </c>
      <c r="F41" s="34"/>
      <c r="G41" s="19">
        <f t="shared" si="1"/>
        <v>0</v>
      </c>
    </row>
    <row r="42" spans="1:7" ht="15" thickBot="1" x14ac:dyDescent="0.25">
      <c r="A42" s="10" t="s">
        <v>45</v>
      </c>
      <c r="B42" s="73">
        <v>1000</v>
      </c>
      <c r="C42" s="87">
        <v>2</v>
      </c>
      <c r="D42" s="88" t="s">
        <v>8</v>
      </c>
      <c r="E42" s="80">
        <v>2070</v>
      </c>
      <c r="F42" s="34"/>
      <c r="G42" s="19">
        <f t="shared" si="1"/>
        <v>0</v>
      </c>
    </row>
    <row r="43" spans="1:7" ht="15" thickBot="1" x14ac:dyDescent="0.25">
      <c r="A43" s="10" t="s">
        <v>46</v>
      </c>
      <c r="B43" s="73">
        <v>140</v>
      </c>
      <c r="C43" s="87" t="s">
        <v>20</v>
      </c>
      <c r="D43" s="88" t="s">
        <v>17</v>
      </c>
      <c r="E43" s="80">
        <v>1400</v>
      </c>
      <c r="F43" s="34"/>
      <c r="G43" s="19">
        <f t="shared" si="1"/>
        <v>0</v>
      </c>
    </row>
    <row r="44" spans="1:7" ht="15" thickBot="1" x14ac:dyDescent="0.25">
      <c r="A44" s="10" t="s">
        <v>47</v>
      </c>
      <c r="B44" s="73">
        <v>160</v>
      </c>
      <c r="C44" s="87" t="s">
        <v>20</v>
      </c>
      <c r="D44" s="88" t="s">
        <v>17</v>
      </c>
      <c r="E44" s="80">
        <v>1720</v>
      </c>
      <c r="F44" s="34"/>
      <c r="G44" s="19">
        <f t="shared" si="1"/>
        <v>0</v>
      </c>
    </row>
    <row r="45" spans="1:7" ht="15" thickBot="1" x14ac:dyDescent="0.25">
      <c r="A45" s="10" t="s">
        <v>48</v>
      </c>
      <c r="B45" s="73">
        <v>180</v>
      </c>
      <c r="C45" s="87" t="s">
        <v>20</v>
      </c>
      <c r="D45" s="88" t="s">
        <v>17</v>
      </c>
      <c r="E45" s="80">
        <v>2120</v>
      </c>
      <c r="F45" s="34"/>
      <c r="G45" s="19">
        <f t="shared" si="1"/>
        <v>0</v>
      </c>
    </row>
    <row r="46" spans="1:7" ht="15" thickBot="1" x14ac:dyDescent="0.25">
      <c r="A46" s="10" t="s">
        <v>49</v>
      </c>
      <c r="B46" s="73">
        <v>130</v>
      </c>
      <c r="C46" s="87" t="s">
        <v>20</v>
      </c>
      <c r="D46" s="88" t="s">
        <v>17</v>
      </c>
      <c r="E46" s="80">
        <v>540</v>
      </c>
      <c r="F46" s="34"/>
      <c r="G46" s="19">
        <f t="shared" si="1"/>
        <v>0</v>
      </c>
    </row>
    <row r="47" spans="1:7" ht="15.75" thickBot="1" x14ac:dyDescent="0.25">
      <c r="A47" s="14" t="s">
        <v>50</v>
      </c>
      <c r="B47" s="77"/>
      <c r="C47" s="93"/>
      <c r="D47" s="93"/>
      <c r="E47" s="84"/>
      <c r="F47" s="38"/>
      <c r="G47" s="47"/>
    </row>
    <row r="48" spans="1:7" ht="15" thickBot="1" x14ac:dyDescent="0.25">
      <c r="A48" s="10" t="s">
        <v>51</v>
      </c>
      <c r="B48" s="73" t="s">
        <v>44</v>
      </c>
      <c r="C48" s="87">
        <v>1</v>
      </c>
      <c r="D48" s="88" t="s">
        <v>8</v>
      </c>
      <c r="E48" s="80">
        <v>1150</v>
      </c>
      <c r="F48" s="34"/>
      <c r="G48" s="19">
        <f t="shared" si="1"/>
        <v>0</v>
      </c>
    </row>
    <row r="49" spans="1:7" ht="15" thickBot="1" x14ac:dyDescent="0.25">
      <c r="A49" s="10" t="s">
        <v>52</v>
      </c>
      <c r="B49" s="73" t="s">
        <v>44</v>
      </c>
      <c r="C49" s="87">
        <v>1</v>
      </c>
      <c r="D49" s="88" t="s">
        <v>8</v>
      </c>
      <c r="E49" s="80">
        <v>1380</v>
      </c>
      <c r="F49" s="34"/>
      <c r="G49" s="19">
        <f t="shared" si="1"/>
        <v>0</v>
      </c>
    </row>
    <row r="50" spans="1:7" ht="15" thickBot="1" x14ac:dyDescent="0.25">
      <c r="A50" s="10" t="s">
        <v>53</v>
      </c>
      <c r="B50" s="73">
        <v>1000</v>
      </c>
      <c r="C50" s="87">
        <v>1</v>
      </c>
      <c r="D50" s="88" t="s">
        <v>8</v>
      </c>
      <c r="E50" s="80">
        <v>1380</v>
      </c>
      <c r="F50" s="34"/>
      <c r="G50" s="19">
        <f t="shared" si="1"/>
        <v>0</v>
      </c>
    </row>
    <row r="51" spans="1:7" ht="15" thickBot="1" x14ac:dyDescent="0.25">
      <c r="A51" s="10" t="s">
        <v>54</v>
      </c>
      <c r="B51" s="73">
        <v>240</v>
      </c>
      <c r="C51" s="87" t="s">
        <v>20</v>
      </c>
      <c r="D51" s="88" t="s">
        <v>17</v>
      </c>
      <c r="E51" s="80">
        <v>260</v>
      </c>
      <c r="F51" s="34"/>
      <c r="G51" s="19">
        <f t="shared" si="1"/>
        <v>0</v>
      </c>
    </row>
    <row r="52" spans="1:7" ht="15.75" thickBot="1" x14ac:dyDescent="0.25">
      <c r="A52" s="11" t="s">
        <v>55</v>
      </c>
      <c r="B52" s="74"/>
      <c r="C52" s="86"/>
      <c r="D52" s="86"/>
      <c r="E52" s="81"/>
      <c r="F52" s="35"/>
      <c r="G52" s="44"/>
    </row>
    <row r="53" spans="1:7" ht="15" thickBot="1" x14ac:dyDescent="0.25">
      <c r="A53" s="10" t="s">
        <v>56</v>
      </c>
      <c r="B53" s="73">
        <v>1000</v>
      </c>
      <c r="C53" s="87">
        <v>1</v>
      </c>
      <c r="D53" s="88" t="s">
        <v>8</v>
      </c>
      <c r="E53" s="80">
        <v>2990</v>
      </c>
      <c r="F53" s="34"/>
      <c r="G53" s="19">
        <f t="shared" si="1"/>
        <v>0</v>
      </c>
    </row>
    <row r="54" spans="1:7" ht="15" thickBot="1" x14ac:dyDescent="0.25">
      <c r="A54" s="10" t="s">
        <v>57</v>
      </c>
      <c r="B54" s="73">
        <v>1000</v>
      </c>
      <c r="C54" s="87">
        <v>1</v>
      </c>
      <c r="D54" s="88" t="s">
        <v>8</v>
      </c>
      <c r="E54" s="80">
        <v>1840</v>
      </c>
      <c r="F54" s="34"/>
      <c r="G54" s="19">
        <f t="shared" si="1"/>
        <v>0</v>
      </c>
    </row>
    <row r="55" spans="1:7" ht="15" thickBot="1" x14ac:dyDescent="0.25">
      <c r="A55" s="10" t="s">
        <v>58</v>
      </c>
      <c r="B55" s="73">
        <v>3</v>
      </c>
      <c r="C55" s="87">
        <v>10</v>
      </c>
      <c r="D55" s="88" t="s">
        <v>17</v>
      </c>
      <c r="E55" s="80">
        <v>510</v>
      </c>
      <c r="F55" s="34"/>
      <c r="G55" s="19">
        <f t="shared" si="1"/>
        <v>0</v>
      </c>
    </row>
    <row r="56" spans="1:7" ht="15" thickBot="1" x14ac:dyDescent="0.25">
      <c r="A56" s="10" t="s">
        <v>59</v>
      </c>
      <c r="B56" s="78"/>
      <c r="C56" s="89"/>
      <c r="D56" s="89"/>
      <c r="E56" s="80">
        <v>2500</v>
      </c>
      <c r="F56" s="34"/>
      <c r="G56" s="19">
        <f t="shared" si="1"/>
        <v>0</v>
      </c>
    </row>
    <row r="57" spans="1:7" ht="15.75" thickBot="1" x14ac:dyDescent="0.3">
      <c r="A57" s="15" t="s">
        <v>60</v>
      </c>
      <c r="B57" s="24"/>
      <c r="C57" s="85"/>
      <c r="D57" s="85"/>
      <c r="E57" s="24"/>
      <c r="F57" s="39"/>
      <c r="G57" s="48"/>
    </row>
    <row r="58" spans="1:7" ht="15" thickBot="1" x14ac:dyDescent="0.25">
      <c r="A58" s="16" t="s">
        <v>61</v>
      </c>
      <c r="B58" s="25">
        <v>1000</v>
      </c>
      <c r="C58" s="20">
        <v>1</v>
      </c>
      <c r="D58" s="26" t="s">
        <v>62</v>
      </c>
      <c r="E58" s="20">
        <v>500</v>
      </c>
      <c r="F58" s="40"/>
      <c r="G58" s="19">
        <f t="shared" si="1"/>
        <v>0</v>
      </c>
    </row>
    <row r="59" spans="1:7" ht="15" thickBot="1" x14ac:dyDescent="0.25">
      <c r="A59" s="16" t="s">
        <v>63</v>
      </c>
      <c r="B59" s="25">
        <v>1000</v>
      </c>
      <c r="C59" s="20">
        <v>1</v>
      </c>
      <c r="D59" s="26" t="s">
        <v>62</v>
      </c>
      <c r="E59" s="20">
        <v>500</v>
      </c>
      <c r="F59" s="40"/>
      <c r="G59" s="19">
        <f t="shared" si="1"/>
        <v>0</v>
      </c>
    </row>
    <row r="60" spans="1:7" ht="15.75" thickBot="1" x14ac:dyDescent="0.3">
      <c r="A60" s="55" t="s">
        <v>64</v>
      </c>
      <c r="B60" s="56"/>
      <c r="C60" s="56"/>
      <c r="D60" s="56"/>
      <c r="E60" s="56"/>
      <c r="F60" s="57"/>
      <c r="G60" s="58"/>
    </row>
    <row r="61" spans="1:7" ht="15" thickBot="1" x14ac:dyDescent="0.25">
      <c r="A61" s="59" t="s">
        <v>65</v>
      </c>
      <c r="B61" s="60">
        <v>250</v>
      </c>
      <c r="C61" s="66">
        <v>1</v>
      </c>
      <c r="D61" s="68" t="s">
        <v>8</v>
      </c>
      <c r="E61" s="67">
        <v>260</v>
      </c>
      <c r="F61" s="61"/>
      <c r="G61" s="62">
        <f t="shared" si="1"/>
        <v>0</v>
      </c>
    </row>
    <row r="62" spans="1:7" ht="15" thickBot="1" x14ac:dyDescent="0.25">
      <c r="A62" s="63" t="s">
        <v>76</v>
      </c>
      <c r="B62" s="64">
        <v>210</v>
      </c>
      <c r="C62" s="65">
        <v>1</v>
      </c>
      <c r="D62" s="71" t="s">
        <v>17</v>
      </c>
      <c r="E62" s="65">
        <v>320</v>
      </c>
      <c r="F62" s="63"/>
      <c r="G62" s="62">
        <f t="shared" si="1"/>
        <v>0</v>
      </c>
    </row>
    <row r="63" spans="1:7" ht="15" thickBot="1" x14ac:dyDescent="0.25">
      <c r="A63" s="51" t="s">
        <v>66</v>
      </c>
      <c r="B63" s="52">
        <v>230</v>
      </c>
      <c r="C63" s="53">
        <v>1</v>
      </c>
      <c r="D63" s="54" t="s">
        <v>8</v>
      </c>
      <c r="E63" s="53">
        <v>520</v>
      </c>
      <c r="F63" s="69"/>
      <c r="G63" s="70">
        <f>F63*E63</f>
        <v>0</v>
      </c>
    </row>
    <row r="64" spans="1:7" ht="15.75" thickBot="1" x14ac:dyDescent="0.25">
      <c r="A64" s="27"/>
      <c r="B64" s="27"/>
      <c r="C64" s="27"/>
      <c r="D64" s="27"/>
      <c r="E64" s="27"/>
      <c r="F64" s="41"/>
      <c r="G64" s="49">
        <f>SUM(G4:G63)</f>
        <v>0</v>
      </c>
    </row>
    <row r="65" spans="1:7" ht="15" thickBot="1" x14ac:dyDescent="0.25">
      <c r="A65" s="28"/>
      <c r="B65" s="28"/>
      <c r="C65" s="28"/>
      <c r="D65" s="28"/>
      <c r="E65" s="18" t="s">
        <v>67</v>
      </c>
      <c r="F65" s="1">
        <v>0.1</v>
      </c>
      <c r="G65" s="17"/>
    </row>
    <row r="66" spans="1:7" ht="15" thickBot="1" x14ac:dyDescent="0.25">
      <c r="A66" s="28"/>
      <c r="B66" s="28"/>
      <c r="C66" s="28"/>
      <c r="D66" s="28"/>
      <c r="E66" s="18" t="s">
        <v>71</v>
      </c>
      <c r="F66" s="29">
        <v>500</v>
      </c>
      <c r="G66" s="29"/>
    </row>
    <row r="67" spans="1:7" ht="15" thickBot="1" x14ac:dyDescent="0.25">
      <c r="A67" s="28"/>
      <c r="B67" s="28"/>
      <c r="C67" s="28"/>
      <c r="D67" s="28"/>
      <c r="E67" s="18" t="s">
        <v>68</v>
      </c>
      <c r="F67" s="29">
        <v>500</v>
      </c>
      <c r="G67" s="29"/>
    </row>
    <row r="68" spans="1:7" ht="15" thickBot="1" x14ac:dyDescent="0.25">
      <c r="A68" s="28"/>
      <c r="B68" s="28"/>
      <c r="C68" s="28"/>
      <c r="D68" s="28"/>
      <c r="E68" s="18" t="s">
        <v>69</v>
      </c>
      <c r="F68" s="29">
        <v>500</v>
      </c>
      <c r="G68" s="29"/>
    </row>
    <row r="69" spans="1:7" ht="15" thickBot="1" x14ac:dyDescent="0.25">
      <c r="A69" s="28"/>
      <c r="B69" s="28"/>
      <c r="C69" s="28"/>
      <c r="D69" s="31"/>
      <c r="E69" s="30"/>
      <c r="F69" s="29"/>
      <c r="G69" s="29"/>
    </row>
    <row r="70" spans="1:7" ht="15" thickBot="1" x14ac:dyDescent="0.25">
      <c r="A70" s="28"/>
      <c r="B70" s="28"/>
      <c r="C70" s="28"/>
      <c r="D70" s="2"/>
      <c r="E70" s="28"/>
      <c r="F70" s="29"/>
      <c r="G70" s="29"/>
    </row>
  </sheetData>
  <mergeCells count="1">
    <mergeCell ref="C2:D2"/>
  </mergeCells>
  <pageMargins left="0.7" right="0.7" top="0.75" bottom="0.75" header="0.3" footer="0.3"/>
  <pageSetup paperSize="9" orientation="portrait" r:id="rId1"/>
  <ignoredErrors>
    <ignoredError sqref="G4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2026-05-28T11:11:26Z</dcterms:created>
  <dcterms:modified xsi:type="dcterms:W3CDTF">2026-05-28T11:28:13Z</dcterms:modified>
</cp:coreProperties>
</file>